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81c0eaa3f6f40/Documents/"/>
    </mc:Choice>
  </mc:AlternateContent>
  <xr:revisionPtr revIDLastSave="151" documentId="8_{BC3A263D-9251-B24B-BDB3-44FC550483EC}" xr6:coauthVersionLast="47" xr6:coauthVersionMax="47" xr10:uidLastSave="{2B36DC0A-9C4D-8941-8C98-AB77C7F174C9}"/>
  <bookViews>
    <workbookView xWindow="0" yWindow="660" windowWidth="30240" windowHeight="17580" xr2:uid="{00000000-000D-0000-FFFF-FFFF00000000}"/>
  </bookViews>
  <sheets>
    <sheet name="Sheet1" sheetId="2" r:id="rId1"/>
    <sheet name="Sheet2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3" l="1" a="1"/>
  <c r="N16" i="3" s="1"/>
  <c r="P12" i="3"/>
  <c r="N12" i="3"/>
  <c r="M14" i="3"/>
  <c r="L12" i="3"/>
  <c r="M4" i="3"/>
  <c r="L5" i="3"/>
  <c r="K5" i="3"/>
  <c r="K4" i="3"/>
  <c r="J4" i="3"/>
  <c r="G2" i="3"/>
  <c r="E2" i="3"/>
  <c r="G3" i="3"/>
  <c r="G4" i="3"/>
  <c r="G5" i="3"/>
  <c r="G6" i="3"/>
  <c r="G7" i="3"/>
  <c r="G8" i="3"/>
  <c r="G9" i="3"/>
  <c r="F3" i="3"/>
  <c r="F4" i="3"/>
  <c r="F5" i="3"/>
  <c r="F6" i="3"/>
  <c r="F7" i="3"/>
  <c r="F8" i="3"/>
  <c r="F9" i="3"/>
  <c r="F2" i="3"/>
  <c r="E3" i="3"/>
  <c r="E4" i="3"/>
  <c r="E5" i="3"/>
  <c r="H5" i="3" s="1"/>
  <c r="E6" i="3"/>
  <c r="E7" i="3"/>
  <c r="H7" i="3" s="1"/>
  <c r="E8" i="3"/>
  <c r="E9" i="3"/>
  <c r="H9" i="3" s="1"/>
  <c r="M10" i="2" a="1"/>
  <c r="M10" i="2" s="1"/>
  <c r="J9" i="2"/>
  <c r="I9" i="2"/>
  <c r="F2" i="2"/>
  <c r="K9" i="2" s="1"/>
  <c r="F3" i="2"/>
  <c r="F4" i="2"/>
  <c r="F5" i="2"/>
  <c r="F6" i="2"/>
  <c r="F7" i="2"/>
  <c r="F8" i="2"/>
  <c r="H6" i="3" l="1"/>
  <c r="H8" i="3"/>
  <c r="H4" i="3"/>
  <c r="H3" i="3"/>
  <c r="G10" i="2"/>
  <c r="K10" i="2"/>
  <c r="G9" i="2"/>
  <c r="H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<sst xmlns="http://schemas.openxmlformats.org/spreadsheetml/2006/main" count="70" uniqueCount="44">
  <si>
    <t>ayush</t>
  </si>
  <si>
    <t>priyanshi</t>
  </si>
  <si>
    <t>laila</t>
  </si>
  <si>
    <t>adama</t>
  </si>
  <si>
    <t>bless</t>
  </si>
  <si>
    <t>gloria</t>
  </si>
  <si>
    <t>paul</t>
  </si>
  <si>
    <t>c</t>
  </si>
  <si>
    <t>python</t>
  </si>
  <si>
    <t>da</t>
  </si>
  <si>
    <t>java</t>
  </si>
  <si>
    <t>mcai</t>
  </si>
  <si>
    <t>total marks</t>
  </si>
  <si>
    <t>marks</t>
  </si>
  <si>
    <t>course</t>
  </si>
  <si>
    <t>technology</t>
  </si>
  <si>
    <t>names</t>
  </si>
  <si>
    <t>result</t>
  </si>
  <si>
    <t>total of pass</t>
  </si>
  <si>
    <t>total of fail</t>
  </si>
  <si>
    <t>number of names</t>
  </si>
  <si>
    <t>number of marks</t>
  </si>
  <si>
    <t>number of people pass</t>
  </si>
  <si>
    <t>number of people fail</t>
  </si>
  <si>
    <t>Column1</t>
  </si>
  <si>
    <t>,</t>
  </si>
  <si>
    <t>name</t>
  </si>
  <si>
    <t>tech</t>
  </si>
  <si>
    <t>roll no.</t>
  </si>
  <si>
    <t>date</t>
  </si>
  <si>
    <t>time</t>
  </si>
  <si>
    <t>visualisation marks of adama</t>
  </si>
  <si>
    <t>yash</t>
  </si>
  <si>
    <t>amira</t>
  </si>
  <si>
    <t>aicha</t>
  </si>
  <si>
    <t>nour</t>
  </si>
  <si>
    <t>diva</t>
  </si>
  <si>
    <t>blessing</t>
  </si>
  <si>
    <t>matlab</t>
  </si>
  <si>
    <t>proteus</t>
  </si>
  <si>
    <t>multisim</t>
  </si>
  <si>
    <t>DIVA</t>
  </si>
  <si>
    <t xml:space="preserve"> LAILA</t>
  </si>
  <si>
    <t>adamaousman@gmail.com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</si>
</sst>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14" fontId="0" fillId="0" borderId="0" xfId="0" applyNumberFormat="1"/>
    <xf numFmtId="18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FFA08F-AB33-B043-ADE9-87A626566893}" name="Table1" displayName="Table1" ref="A1:M10" totalsRowCount="1">
  <autoFilter ref="A1:M9" xr:uid="{1DFFA08F-AB33-B043-ADE9-87A626566893}"/>
  <tableColumns count="13">
    <tableColumn id="1" xr3:uid="{5B379A1E-C762-524B-8912-72AE91433D47}" name="names"/>
    <tableColumn id="2" xr3:uid="{50FC0B76-036A-F242-9A81-560D91A132D5}" name="technology"/>
    <tableColumn id="3" xr3:uid="{71865024-9282-9D46-83E7-110ADD784CE8}" name="course"/>
    <tableColumn id="4" xr3:uid="{65379959-C570-E04E-8C03-3004141D6C1C}" name="marks"/>
    <tableColumn id="5" xr3:uid="{18B2C162-A7CD-6241-A700-5D468B579F08}" name="total marks"/>
    <tableColumn id="6" xr3:uid="{6E1ED03F-D2D9-FE4C-BF7F-884347E048D3}" name="result" dataDxfId="5">
      <calculatedColumnFormula>IF(Table1[[#This Row],[marks]]&gt;=50,"pass","fail")</calculatedColumnFormula>
    </tableColumn>
    <tableColumn id="7" xr3:uid="{5882CD73-E325-9541-B597-EBAA77DD95F9}" name="total of pass" totalsRowFunction="custom" dataDxfId="4">
      <calculatedColumnFormula>SUMIF(Table1[result],"pass",Table1[marks])</calculatedColumnFormula>
      <totalsRowFormula>SUMIF(Table1[result],"pass",Table1[marks])</totalsRowFormula>
    </tableColumn>
    <tableColumn id="8" xr3:uid="{590A7795-2CAD-BD45-9FF4-1833E38BBDDD}" name="total of fail"/>
    <tableColumn id="9" xr3:uid="{DB6F6DE2-49CC-8C46-88EF-61199C16E8D5}" name="number of names" dataDxfId="3"/>
    <tableColumn id="10" xr3:uid="{1CB86951-E7E4-6A44-B44F-20B0A8AD8522}" name="number of marks" dataDxfId="2"/>
    <tableColumn id="11" xr3:uid="{B584C248-78D0-D346-8B78-0E6757CF000E}" name="number of people pass" totalsRowFunction="custom">
      <totalsRowFormula>COUNTIF(Table1[result],"pass")</totalsRowFormula>
    </tableColumn>
    <tableColumn id="12" xr3:uid="{D1ECE581-4C65-3346-B0FB-A5E7F4FA64C9}" name="number of people fail"/>
    <tableColumn id="13" xr3:uid="{F0889C16-CF12-544E-BC16-6FFDF4E2535A}" name="Column1" totalsRowFunction="custom">
      <totalsRowFormula array="1">_xlfn.IFS(D2&gt;80,"A",D2&lt;50,"c",D2&gt;60,"B")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amaous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7EAD-583D-5343-AAC8-7F1211C54777}">
  <dimension ref="A1:M14"/>
  <sheetViews>
    <sheetView tabSelected="1" zoomScale="200" workbookViewId="0">
      <selection activeCell="D2" sqref="D2"/>
    </sheetView>
  </sheetViews>
  <sheetFormatPr baseColWidth="10" defaultRowHeight="15" x14ac:dyDescent="0.2"/>
  <sheetData>
    <row r="1" spans="1:13" x14ac:dyDescent="0.2">
      <c r="A1" t="s">
        <v>16</v>
      </c>
      <c r="B1" t="s">
        <v>15</v>
      </c>
      <c r="C1" t="s">
        <v>14</v>
      </c>
      <c r="D1" t="s">
        <v>13</v>
      </c>
      <c r="E1" t="s">
        <v>12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2">
      <c r="A2" t="s">
        <v>0</v>
      </c>
      <c r="B2" t="s">
        <v>7</v>
      </c>
      <c r="C2" t="s">
        <v>11</v>
      </c>
      <c r="D2">
        <v>50</v>
      </c>
      <c r="E2">
        <v>100</v>
      </c>
      <c r="F2" t="str">
        <f>IF(Table1[[#This Row],[marks]]&gt;=50,"pass","fail")</f>
        <v>pass</v>
      </c>
    </row>
    <row r="3" spans="1:13" x14ac:dyDescent="0.2">
      <c r="A3" t="s">
        <v>1</v>
      </c>
      <c r="B3" t="s">
        <v>8</v>
      </c>
      <c r="C3" t="s">
        <v>11</v>
      </c>
      <c r="D3">
        <v>40</v>
      </c>
      <c r="E3">
        <v>100</v>
      </c>
      <c r="F3" t="str">
        <f>IF(Table1[[#This Row],[marks]]&gt;=50,"pass","fail")</f>
        <v>fail</v>
      </c>
    </row>
    <row r="4" spans="1:13" x14ac:dyDescent="0.2">
      <c r="A4" t="s">
        <v>2</v>
      </c>
      <c r="B4" t="s">
        <v>9</v>
      </c>
      <c r="C4" t="s">
        <v>11</v>
      </c>
      <c r="D4">
        <v>90</v>
      </c>
      <c r="E4">
        <v>100</v>
      </c>
      <c r="F4" t="str">
        <f>IF(Table1[[#This Row],[marks]]&gt;=50,"pass","fail")</f>
        <v>pass</v>
      </c>
    </row>
    <row r="5" spans="1:13" x14ac:dyDescent="0.2">
      <c r="A5" t="s">
        <v>3</v>
      </c>
      <c r="B5" t="s">
        <v>10</v>
      </c>
      <c r="C5" t="s">
        <v>11</v>
      </c>
      <c r="D5">
        <v>30</v>
      </c>
      <c r="E5">
        <v>100</v>
      </c>
      <c r="F5" t="str">
        <f>IF(Table1[[#This Row],[marks]]&gt;=50,"pass","fail")</f>
        <v>fail</v>
      </c>
    </row>
    <row r="6" spans="1:13" x14ac:dyDescent="0.2">
      <c r="A6" t="s">
        <v>4</v>
      </c>
      <c r="B6" t="s">
        <v>7</v>
      </c>
      <c r="C6" t="s">
        <v>11</v>
      </c>
      <c r="D6">
        <v>58</v>
      </c>
      <c r="E6">
        <v>100</v>
      </c>
      <c r="F6" t="str">
        <f>IF(Table1[[#This Row],[marks]]&gt;=50,"pass","fail")</f>
        <v>pass</v>
      </c>
    </row>
    <row r="7" spans="1:13" x14ac:dyDescent="0.2">
      <c r="A7" t="s">
        <v>5</v>
      </c>
      <c r="B7" t="s">
        <v>8</v>
      </c>
      <c r="C7" t="s">
        <v>11</v>
      </c>
      <c r="D7">
        <v>85</v>
      </c>
      <c r="E7">
        <v>100</v>
      </c>
      <c r="F7" t="str">
        <f>IF(Table1[[#This Row],[marks]]&gt;=50,"pass","fail")</f>
        <v>pass</v>
      </c>
    </row>
    <row r="8" spans="1:13" x14ac:dyDescent="0.2">
      <c r="A8" t="s">
        <v>6</v>
      </c>
      <c r="B8" t="s">
        <v>9</v>
      </c>
      <c r="C8" t="s">
        <v>11</v>
      </c>
      <c r="D8">
        <v>45</v>
      </c>
      <c r="E8">
        <v>100</v>
      </c>
      <c r="F8" t="str">
        <f>IF(Table1[[#This Row],[marks]]&gt;=50,"pass","fail")</f>
        <v>fail</v>
      </c>
    </row>
    <row r="9" spans="1:13" x14ac:dyDescent="0.2">
      <c r="G9">
        <f>SUMIF(Table1[result],"pass",Table1[marks])</f>
        <v>283</v>
      </c>
      <c r="H9">
        <f>SUMIF(F2:F8,"fail",D2:D8)</f>
        <v>115</v>
      </c>
      <c r="I9">
        <f>COUNTA(A2:A8)</f>
        <v>7</v>
      </c>
      <c r="J9">
        <f>COUNT(D2:D8)</f>
        <v>7</v>
      </c>
      <c r="K9">
        <f>COUNTIF(F2:F8,"pass")</f>
        <v>4</v>
      </c>
    </row>
    <row r="10" spans="1:13" x14ac:dyDescent="0.2">
      <c r="G10">
        <f>SUMIF(Table1[result],"pass",Table1[marks])</f>
        <v>283</v>
      </c>
      <c r="K10">
        <f>COUNTIF(Table1[result],"pass")</f>
        <v>4</v>
      </c>
      <c r="M10" t="e" cm="1">
        <f t="array" ref="M10">_xlfn.IFS(D2&gt;80,"A",D2&lt;50,"c",D2&gt;60,"B")</f>
        <v>#N/A</v>
      </c>
    </row>
    <row r="14" spans="1:13" x14ac:dyDescent="0.2">
      <c r="M14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8CB7-B385-4C4A-995F-6C251434551C}">
  <dimension ref="A1:P16"/>
  <sheetViews>
    <sheetView workbookViewId="0">
      <selection activeCell="J23" sqref="J23"/>
    </sheetView>
  </sheetViews>
  <sheetFormatPr baseColWidth="10" defaultRowHeight="15" x14ac:dyDescent="0.2"/>
  <sheetData>
    <row r="1" spans="1:16" x14ac:dyDescent="0.2">
      <c r="A1" s="1" t="s">
        <v>28</v>
      </c>
      <c r="B1" s="2" t="s">
        <v>26</v>
      </c>
      <c r="C1" s="2" t="s">
        <v>27</v>
      </c>
      <c r="D1" s="2" t="s">
        <v>14</v>
      </c>
      <c r="E1" s="2" t="s">
        <v>13</v>
      </c>
      <c r="F1" s="3" t="s">
        <v>29</v>
      </c>
      <c r="G1" s="3" t="s">
        <v>30</v>
      </c>
      <c r="H1" s="3" t="s">
        <v>31</v>
      </c>
    </row>
    <row r="2" spans="1:16" x14ac:dyDescent="0.2">
      <c r="A2" s="1">
        <v>1</v>
      </c>
      <c r="B2" s="2" t="s">
        <v>2</v>
      </c>
      <c r="C2" s="2" t="s">
        <v>38</v>
      </c>
      <c r="D2" s="2" t="s">
        <v>11</v>
      </c>
      <c r="E2" s="2">
        <f ca="1">RANDBETWEEN(40,80)</f>
        <v>73</v>
      </c>
      <c r="F2" s="4">
        <f ca="1">TODAY()</f>
        <v>46287</v>
      </c>
      <c r="G2" s="5">
        <f>TIME(11,54,30)</f>
        <v>0.49618055555555557</v>
      </c>
      <c r="M2" t="s">
        <v>41</v>
      </c>
    </row>
    <row r="3" spans="1:16" x14ac:dyDescent="0.2">
      <c r="A3" s="1">
        <v>2</v>
      </c>
      <c r="B3" s="2" t="s">
        <v>32</v>
      </c>
      <c r="C3" s="2" t="s">
        <v>39</v>
      </c>
      <c r="D3" s="2" t="s">
        <v>11</v>
      </c>
      <c r="E3" s="2">
        <f t="shared" ref="E3:E9" ca="1" si="0">RANDBETWEEN(25,65)</f>
        <v>58</v>
      </c>
      <c r="F3" s="4">
        <f t="shared" ref="F3:F9" ca="1" si="1">TODAY()</f>
        <v>46287</v>
      </c>
      <c r="G3" s="5">
        <f t="shared" ref="G3:G9" si="2">TIME(11,54,30)</f>
        <v>0.49618055555555557</v>
      </c>
      <c r="H3">
        <f ca="1">VLOOKUP(B3,B1:E9,4,FALSE)</f>
        <v>58</v>
      </c>
      <c r="L3" t="s">
        <v>42</v>
      </c>
    </row>
    <row r="4" spans="1:16" x14ac:dyDescent="0.2">
      <c r="A4" s="1">
        <v>3</v>
      </c>
      <c r="B4" s="2" t="s">
        <v>33</v>
      </c>
      <c r="C4" s="2" t="s">
        <v>38</v>
      </c>
      <c r="D4" s="2" t="s">
        <v>11</v>
      </c>
      <c r="E4" s="2">
        <f t="shared" ca="1" si="0"/>
        <v>46</v>
      </c>
      <c r="F4" s="4">
        <f t="shared" ca="1" si="1"/>
        <v>46287</v>
      </c>
      <c r="G4" s="5">
        <f t="shared" si="2"/>
        <v>0.49618055555555557</v>
      </c>
      <c r="H4">
        <f t="shared" ref="H4:H9" ca="1" si="3">VLOOKUP(B4,B2:E10,4,FALSE)</f>
        <v>46</v>
      </c>
      <c r="J4">
        <f>LEN(B3)</f>
        <v>4</v>
      </c>
      <c r="K4" t="str">
        <f>PROPER(B4)</f>
        <v>Amira</v>
      </c>
      <c r="M4" t="str">
        <f>TRIM(L3)</f>
        <v>LAILA</v>
      </c>
    </row>
    <row r="5" spans="1:16" x14ac:dyDescent="0.2">
      <c r="A5" s="1">
        <v>4</v>
      </c>
      <c r="B5" s="2" t="s">
        <v>34</v>
      </c>
      <c r="C5" s="2" t="s">
        <v>40</v>
      </c>
      <c r="D5" s="2" t="s">
        <v>11</v>
      </c>
      <c r="E5" s="2">
        <f t="shared" ca="1" si="0"/>
        <v>38</v>
      </c>
      <c r="F5" s="4">
        <f t="shared" ca="1" si="1"/>
        <v>46287</v>
      </c>
      <c r="G5" s="5">
        <f t="shared" si="2"/>
        <v>0.49618055555555557</v>
      </c>
      <c r="H5">
        <f t="shared" ca="1" si="3"/>
        <v>38</v>
      </c>
      <c r="K5" t="str">
        <f>UPPER(B6)</f>
        <v>NOUR</v>
      </c>
      <c r="L5" t="str">
        <f>LOWER(M2)</f>
        <v>diva</v>
      </c>
    </row>
    <row r="6" spans="1:16" x14ac:dyDescent="0.2">
      <c r="A6" s="1">
        <v>5</v>
      </c>
      <c r="B6" s="2" t="s">
        <v>35</v>
      </c>
      <c r="C6" s="2" t="s">
        <v>40</v>
      </c>
      <c r="D6" s="2" t="s">
        <v>11</v>
      </c>
      <c r="E6" s="2">
        <f t="shared" ca="1" si="0"/>
        <v>50</v>
      </c>
      <c r="F6" s="4">
        <f t="shared" ca="1" si="1"/>
        <v>46287</v>
      </c>
      <c r="G6" s="5">
        <f t="shared" si="2"/>
        <v>0.49618055555555557</v>
      </c>
      <c r="H6">
        <f t="shared" ca="1" si="3"/>
        <v>50</v>
      </c>
    </row>
    <row r="7" spans="1:16" x14ac:dyDescent="0.2">
      <c r="A7" s="1">
        <v>6</v>
      </c>
      <c r="B7" s="2" t="s">
        <v>36</v>
      </c>
      <c r="C7" s="2" t="s">
        <v>38</v>
      </c>
      <c r="D7" s="2" t="s">
        <v>11</v>
      </c>
      <c r="E7" s="2">
        <f t="shared" ca="1" si="0"/>
        <v>39</v>
      </c>
      <c r="F7" s="4">
        <f t="shared" ca="1" si="1"/>
        <v>46287</v>
      </c>
      <c r="G7" s="5">
        <f t="shared" si="2"/>
        <v>0.49618055555555557</v>
      </c>
      <c r="H7">
        <f t="shared" ca="1" si="3"/>
        <v>39</v>
      </c>
    </row>
    <row r="8" spans="1:16" x14ac:dyDescent="0.2">
      <c r="A8" s="1">
        <v>7</v>
      </c>
      <c r="B8" s="2" t="s">
        <v>3</v>
      </c>
      <c r="C8" s="2" t="s">
        <v>39</v>
      </c>
      <c r="D8" s="2" t="s">
        <v>11</v>
      </c>
      <c r="E8" s="2">
        <f t="shared" ca="1" si="0"/>
        <v>40</v>
      </c>
      <c r="F8" s="4">
        <f t="shared" ca="1" si="1"/>
        <v>46287</v>
      </c>
      <c r="G8" s="5">
        <f t="shared" si="2"/>
        <v>0.49618055555555557</v>
      </c>
      <c r="H8">
        <f t="shared" ca="1" si="3"/>
        <v>40</v>
      </c>
    </row>
    <row r="9" spans="1:16" x14ac:dyDescent="0.2">
      <c r="A9" s="1">
        <v>8</v>
      </c>
      <c r="B9" s="2" t="s">
        <v>37</v>
      </c>
      <c r="C9" s="2" t="s">
        <v>39</v>
      </c>
      <c r="D9" s="2" t="s">
        <v>11</v>
      </c>
      <c r="E9" s="2">
        <f t="shared" ca="1" si="0"/>
        <v>50</v>
      </c>
      <c r="F9" s="4">
        <f t="shared" ca="1" si="1"/>
        <v>46287</v>
      </c>
      <c r="G9" s="5">
        <f t="shared" si="2"/>
        <v>0.49618055555555557</v>
      </c>
      <c r="H9">
        <f t="shared" ca="1" si="3"/>
        <v>50</v>
      </c>
    </row>
    <row r="12" spans="1:16" x14ac:dyDescent="0.2">
      <c r="I12" s="6" t="s">
        <v>43</v>
      </c>
      <c r="L12">
        <f>FIND("@",I12)</f>
        <v>12</v>
      </c>
      <c r="N12" t="str">
        <f>_xlfn.TEXTBEFORE(I12,"@")</f>
        <v>adamaousman</v>
      </c>
      <c r="P12" t="str">
        <f>_xlfn.TEXTAFTER(I12,"@")</f>
        <v>gmail.com</v>
      </c>
    </row>
    <row r="14" spans="1:16" x14ac:dyDescent="0.2">
      <c r="M14" t="str">
        <f>SUBSTITUTE(B2,"nour","hilla")</f>
        <v>laila</v>
      </c>
    </row>
    <row r="16" spans="1:16" x14ac:dyDescent="0.2">
      <c r="N16" t="str" cm="1">
        <f t="array" ref="N16:O16">_xlfn.TEXTSPLIT(I12,".")</f>
        <v>adamaousman@gmail</v>
      </c>
      <c r="O16" t="str">
        <v>com</v>
      </c>
    </row>
  </sheetData>
  <conditionalFormatting sqref="F1:H1 A1:E9">
    <cfRule type="containsText" dxfId="1" priority="1" operator="containsText" text="python">
      <formula>NOT(ISERROR(SEARCH("python",A1)))</formula>
    </cfRule>
    <cfRule type="containsText" dxfId="0" priority="2" operator="containsText" text="java">
      <formula>NOT(ISERROR(SEARCH("java",A1)))</formula>
    </cfRule>
  </conditionalFormatting>
  <hyperlinks>
    <hyperlink ref="I12" r:id="rId1" xr:uid="{F4D9C56F-AA4C-0147-8D84-E665C763FC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Adama</dc:creator>
  <cp:lastModifiedBy>Laila Adama</cp:lastModifiedBy>
  <dcterms:created xsi:type="dcterms:W3CDTF">2022-12-21T23:13:52Z</dcterms:created>
  <dcterms:modified xsi:type="dcterms:W3CDTF">2026-09-22T16:43:01Z</dcterms:modified>
</cp:coreProperties>
</file>