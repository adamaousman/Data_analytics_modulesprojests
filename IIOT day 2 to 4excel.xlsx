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381c0eaa3f6f40/Documents/"/>
    </mc:Choice>
  </mc:AlternateContent>
  <xr:revisionPtr revIDLastSave="245" documentId="8_{EA74D77A-2729-8F4C-9AF0-22BCE7B967A7}" xr6:coauthVersionLast="47" xr6:coauthVersionMax="47" xr10:uidLastSave="{0F6510D7-FC13-F04A-99D4-7FD25CB7106E}"/>
  <bookViews>
    <workbookView xWindow="1100" yWindow="900" windowWidth="28040" windowHeight="17180" xr2:uid="{99AE4536-2205-304E-B4B3-52B9B3044892}"/>
  </bookViews>
  <sheets>
    <sheet name="Sheet1" sheetId="1" r:id="rId1"/>
    <sheet name="Data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" i="2" l="1"/>
  <c r="H20" i="2"/>
  <c r="H19" i="2"/>
  <c r="H18" i="2"/>
  <c r="H9" i="2"/>
  <c r="G9" i="2"/>
  <c r="K6" i="2" s="1"/>
  <c r="F9" i="2"/>
  <c r="H8" i="2"/>
  <c r="G8" i="2"/>
  <c r="K5" i="2" s="1"/>
  <c r="F8" i="2"/>
  <c r="C14" i="2"/>
  <c r="C13" i="2"/>
  <c r="C10" i="2"/>
  <c r="C9" i="2"/>
  <c r="C8" i="2"/>
  <c r="C7" i="2"/>
  <c r="E14" i="1"/>
  <c r="E4" i="1"/>
  <c r="E2" i="1"/>
  <c r="C22" i="2" s="1"/>
  <c r="E3" i="1"/>
  <c r="E7" i="1"/>
  <c r="E8" i="1"/>
  <c r="E10" i="1"/>
  <c r="E11" i="1"/>
  <c r="E9" i="1"/>
  <c r="E6" i="1"/>
  <c r="E13" i="1"/>
  <c r="C11" i="2" s="1"/>
  <c r="E12" i="1"/>
  <c r="E5" i="1"/>
  <c r="C12" i="2" l="1"/>
  <c r="H22" i="2" s="1"/>
  <c r="D22" i="2"/>
  <c r="E22" i="2"/>
  <c r="C19" i="2"/>
  <c r="C23" i="2"/>
  <c r="D19" i="2"/>
  <c r="D23" i="2"/>
  <c r="E19" i="2"/>
  <c r="E23" i="2"/>
  <c r="C20" i="2"/>
  <c r="D20" i="2"/>
  <c r="E20" i="2"/>
  <c r="C21" i="2"/>
  <c r="D21" i="2"/>
  <c r="E21" i="2"/>
  <c r="G14" i="1"/>
  <c r="F14" i="1"/>
</calcChain>
</file>

<file path=xl/sharedStrings.xml><?xml version="1.0" encoding="utf-8"?>
<sst xmlns="http://schemas.openxmlformats.org/spreadsheetml/2006/main" count="103" uniqueCount="62">
  <si>
    <t>Categories</t>
  </si>
  <si>
    <t>Articles</t>
  </si>
  <si>
    <t>Electronics</t>
  </si>
  <si>
    <t>clothes</t>
  </si>
  <si>
    <t>iphone 11</t>
  </si>
  <si>
    <t>laptop asus</t>
  </si>
  <si>
    <t>macbook pro 14</t>
  </si>
  <si>
    <t>iphone 17</t>
  </si>
  <si>
    <t>power bank oraimo</t>
  </si>
  <si>
    <t>samsung charger</t>
  </si>
  <si>
    <t>pantalon</t>
  </si>
  <si>
    <t>t-shirt</t>
  </si>
  <si>
    <t>pullover</t>
  </si>
  <si>
    <t>dress</t>
  </si>
  <si>
    <t>scarf</t>
  </si>
  <si>
    <t>hat</t>
  </si>
  <si>
    <t>Initial prices in franc cfa(XAF)</t>
  </si>
  <si>
    <t xml:space="preserve">percentange of discount % </t>
  </si>
  <si>
    <t>prices after discount in franc cfa(XAF)</t>
  </si>
  <si>
    <t>Total price of electronics articles</t>
  </si>
  <si>
    <t xml:space="preserve">Total price of clothes articles </t>
  </si>
  <si>
    <t>📊 Sales &amp; Discount Analysis Dashboard</t>
  </si>
  <si>
    <t>Analysis of Electronics and Clothes inventory with pricing and discounts</t>
  </si>
  <si>
    <t>📈 KEY METRICS</t>
  </si>
  <si>
    <t>Total Items</t>
  </si>
  <si>
    <t>Electronics Items</t>
  </si>
  <si>
    <t>Clothes Items</t>
  </si>
  <si>
    <t>Total Initial Value</t>
  </si>
  <si>
    <t>Total After Discount</t>
  </si>
  <si>
    <t>Total Savings</t>
  </si>
  <si>
    <t>Average Discount %</t>
  </si>
  <si>
    <t>Highest Priced Item</t>
  </si>
  <si>
    <t>📦 CATEGORY BREAKDOWN</t>
  </si>
  <si>
    <t>Category</t>
  </si>
  <si>
    <t>Item Count</t>
  </si>
  <si>
    <t>Total Value (XAF)</t>
  </si>
  <si>
    <t>Avg Discount %</t>
  </si>
  <si>
    <t>Clothes</t>
  </si>
  <si>
    <t>🏆 TOP 5 HIGHEST VALUE ITEMS</t>
  </si>
  <si>
    <t>Rank</t>
  </si>
  <si>
    <t>Article</t>
  </si>
  <si>
    <t>Price After Discount</t>
  </si>
  <si>
    <t>💰 DISCOUNT ANALYSIS</t>
  </si>
  <si>
    <t>Highest Discount %</t>
  </si>
  <si>
    <t>Lowest Discount %</t>
  </si>
  <si>
    <t>Items with &gt;25% discount</t>
  </si>
  <si>
    <t>Highest Discount Item</t>
  </si>
  <si>
    <t>Total Savings (XAF)</t>
  </si>
  <si>
    <t>💡 KEY INSIGHTS &amp; FINDINGS</t>
  </si>
  <si>
    <t>• Electronics dominate inventory value (~98%) with 6 items totaling over 3.4M XAF after discount</t>
  </si>
  <si>
    <t>• Clothes have higher average discounts (~27%) compared to Electronics (~17%)</t>
  </si>
  <si>
    <t>• The MacBook Pro 14 alone represents ~49% of total inventory value at 1,710,000 XAF</t>
  </si>
  <si>
    <t>• Hat has the highest discount at 45%, reducing price from 6,000 to 3,300 XAF</t>
  </si>
  <si>
    <t>• Total customer savings: over 550,000 XAF (~14% average savings across all items)</t>
  </si>
  <si>
    <t>Chart Data</t>
  </si>
  <si>
    <t>Value</t>
  </si>
  <si>
    <t>Item Price Comparison</t>
  </si>
  <si>
    <t>Initial Price</t>
  </si>
  <si>
    <t>After Discount</t>
  </si>
  <si>
    <t>Discount Data</t>
  </si>
  <si>
    <t>Discount %</t>
  </si>
  <si>
    <t>Analysis generated: 24/08/2026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</si>
</sst>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5B9BD5"/>
      <name val="Aptos Narrow"/>
      <family val="2"/>
      <scheme val="minor"/>
    </font>
    <font>
      <b/>
      <sz val="14"/>
      <color rgb="FF2E75B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8"/>
      <color rgb="FFC0C0C0"/>
      <name val="Aptos Narrow"/>
      <family val="2"/>
      <scheme val="minor"/>
    </font>
    <font>
      <sz val="8"/>
      <color rgb="FFC0C0C0"/>
      <name val="Aptos Narrow"/>
      <family val="2"/>
      <scheme val="minor"/>
    </font>
    <font>
      <i/>
      <sz val="9"/>
      <color rgb="FF80808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0" fontId="6" fillId="6" borderId="6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3" fontId="0" fillId="7" borderId="6" xfId="0" applyNumberFormat="1" applyFill="1" applyBorder="1" applyAlignment="1">
      <alignment horizontal="center"/>
    </xf>
    <xf numFmtId="0" fontId="1" fillId="2" borderId="6" xfId="0" applyFont="1" applyFill="1" applyBorder="1" applyAlignment="1">
      <alignment horizontal="right"/>
    </xf>
    <xf numFmtId="1" fontId="1" fillId="8" borderId="6" xfId="0" applyNumberFormat="1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3" fontId="1" fillId="8" borderId="6" xfId="0" applyNumberFormat="1" applyFont="1" applyFill="1" applyBorder="1" applyAlignment="1">
      <alignment horizontal="center"/>
    </xf>
    <xf numFmtId="0" fontId="0" fillId="9" borderId="0" xfId="0" applyFill="1"/>
    <xf numFmtId="0" fontId="0" fillId="9" borderId="1" xfId="0" applyFill="1" applyBorder="1"/>
    <xf numFmtId="0" fontId="0" fillId="9" borderId="2" xfId="0" applyFill="1" applyBorder="1"/>
    <xf numFmtId="0" fontId="3" fillId="9" borderId="3" xfId="0" applyFont="1" applyFill="1" applyBorder="1"/>
    <xf numFmtId="0" fontId="3" fillId="9" borderId="4" xfId="0" applyFont="1" applyFill="1" applyBorder="1"/>
    <xf numFmtId="0" fontId="3" fillId="9" borderId="5" xfId="0" applyFont="1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7" fillId="0" borderId="0" xfId="0" applyFont="1"/>
    <xf numFmtId="0" fontId="8" fillId="0" borderId="0" xfId="0" applyFont="1"/>
    <xf numFmtId="0" fontId="9" fillId="9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Analysis'!$K$4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CF-2D43-A757-8963F59532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CF-2D43-A757-8963F59532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Analysis'!$J$5:$J$6</c:f>
              <c:strCache>
                <c:ptCount val="2"/>
                <c:pt idx="0">
                  <c:v>Electronics</c:v>
                </c:pt>
                <c:pt idx="1">
                  <c:v>Clothes</c:v>
                </c:pt>
              </c:strCache>
            </c:strRef>
          </c:cat>
          <c:val>
            <c:numRef>
              <c:f>'Data Analysis'!$K$5:$K$6</c:f>
              <c:numCache>
                <c:formatCode>General</c:formatCode>
                <c:ptCount val="2"/>
                <c:pt idx="0">
                  <c:v>3483000</c:v>
                </c:pt>
                <c:pt idx="1">
                  <c:v>68250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0-D145-9FD3-E5E2D9644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 Prices: Before vs After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Analysis'!$K$22</c:f>
              <c:strCache>
                <c:ptCount val="1"/>
                <c:pt idx="0">
                  <c:v>Initial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Analysis'!$J$23:$J$34</c:f>
              <c:strCache>
                <c:ptCount val="12"/>
                <c:pt idx="0">
                  <c:v>macbook pro 14</c:v>
                </c:pt>
                <c:pt idx="1">
                  <c:v>iphone 17</c:v>
                </c:pt>
                <c:pt idx="2">
                  <c:v>laptop asus</c:v>
                </c:pt>
                <c:pt idx="3">
                  <c:v>iphone 11</c:v>
                </c:pt>
                <c:pt idx="4">
                  <c:v>dress</c:v>
                </c:pt>
                <c:pt idx="5">
                  <c:v>power bank oraimo</c:v>
                </c:pt>
                <c:pt idx="6">
                  <c:v>samsung charger</c:v>
                </c:pt>
                <c:pt idx="7">
                  <c:v>pullover</c:v>
                </c:pt>
                <c:pt idx="8">
                  <c:v>pantalon</c:v>
                </c:pt>
                <c:pt idx="9">
                  <c:v>t-shirt</c:v>
                </c:pt>
                <c:pt idx="10">
                  <c:v>hat</c:v>
                </c:pt>
                <c:pt idx="11">
                  <c:v>scarf</c:v>
                </c:pt>
              </c:strCache>
            </c:strRef>
          </c:cat>
          <c:val>
            <c:numRef>
              <c:f>'Data Analysis'!$K$23:$K$34</c:f>
              <c:numCache>
                <c:formatCode>General</c:formatCode>
                <c:ptCount val="12"/>
                <c:pt idx="0">
                  <c:v>1800000</c:v>
                </c:pt>
                <c:pt idx="1">
                  <c:v>1500000</c:v>
                </c:pt>
                <c:pt idx="2">
                  <c:v>350000</c:v>
                </c:pt>
                <c:pt idx="3">
                  <c:v>250000</c:v>
                </c:pt>
                <c:pt idx="4">
                  <c:v>50000</c:v>
                </c:pt>
                <c:pt idx="5">
                  <c:v>30000</c:v>
                </c:pt>
                <c:pt idx="6">
                  <c:v>25000</c:v>
                </c:pt>
                <c:pt idx="7">
                  <c:v>20000</c:v>
                </c:pt>
                <c:pt idx="8">
                  <c:v>10000</c:v>
                </c:pt>
                <c:pt idx="9">
                  <c:v>10000</c:v>
                </c:pt>
                <c:pt idx="10">
                  <c:v>6000</c:v>
                </c:pt>
                <c:pt idx="1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8-B24B-A851-BE4809BD7CC9}"/>
            </c:ext>
          </c:extLst>
        </c:ser>
        <c:ser>
          <c:idx val="1"/>
          <c:order val="1"/>
          <c:tx>
            <c:strRef>
              <c:f>'Data Analysis'!$L$22</c:f>
              <c:strCache>
                <c:ptCount val="1"/>
                <c:pt idx="0">
                  <c:v>After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Analysis'!$J$23:$J$34</c:f>
              <c:strCache>
                <c:ptCount val="12"/>
                <c:pt idx="0">
                  <c:v>macbook pro 14</c:v>
                </c:pt>
                <c:pt idx="1">
                  <c:v>iphone 17</c:v>
                </c:pt>
                <c:pt idx="2">
                  <c:v>laptop asus</c:v>
                </c:pt>
                <c:pt idx="3">
                  <c:v>iphone 11</c:v>
                </c:pt>
                <c:pt idx="4">
                  <c:v>dress</c:v>
                </c:pt>
                <c:pt idx="5">
                  <c:v>power bank oraimo</c:v>
                </c:pt>
                <c:pt idx="6">
                  <c:v>samsung charger</c:v>
                </c:pt>
                <c:pt idx="7">
                  <c:v>pullover</c:v>
                </c:pt>
                <c:pt idx="8">
                  <c:v>pantalon</c:v>
                </c:pt>
                <c:pt idx="9">
                  <c:v>t-shirt</c:v>
                </c:pt>
                <c:pt idx="10">
                  <c:v>hat</c:v>
                </c:pt>
                <c:pt idx="11">
                  <c:v>scarf</c:v>
                </c:pt>
              </c:strCache>
            </c:strRef>
          </c:cat>
          <c:val>
            <c:numRef>
              <c:f>'Data Analysis'!$L$23:$L$34</c:f>
              <c:numCache>
                <c:formatCode>General</c:formatCode>
                <c:ptCount val="12"/>
                <c:pt idx="0">
                  <c:v>1710000</c:v>
                </c:pt>
                <c:pt idx="1">
                  <c:v>1200000</c:v>
                </c:pt>
                <c:pt idx="2">
                  <c:v>308000</c:v>
                </c:pt>
                <c:pt idx="3">
                  <c:v>225000</c:v>
                </c:pt>
                <c:pt idx="4">
                  <c:v>30000</c:v>
                </c:pt>
                <c:pt idx="5">
                  <c:v>22500</c:v>
                </c:pt>
                <c:pt idx="6">
                  <c:v>17500</c:v>
                </c:pt>
                <c:pt idx="7">
                  <c:v>13000</c:v>
                </c:pt>
                <c:pt idx="8">
                  <c:v>9000</c:v>
                </c:pt>
                <c:pt idx="9">
                  <c:v>9200</c:v>
                </c:pt>
                <c:pt idx="10">
                  <c:v>3300</c:v>
                </c:pt>
                <c:pt idx="11">
                  <c:v>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48-B24B-A851-BE4809BD7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1118016"/>
        <c:axId val="2041116224"/>
      </c:barChart>
      <c:catAx>
        <c:axId val="204111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116224"/>
        <c:crosses val="autoZero"/>
        <c:auto val="1"/>
        <c:lblAlgn val="ctr"/>
        <c:lblOffset val="100"/>
        <c:noMultiLvlLbl val="0"/>
      </c:catAx>
      <c:valAx>
        <c:axId val="204111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11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% by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Analysis'!$O$22</c:f>
              <c:strCache>
                <c:ptCount val="1"/>
                <c:pt idx="0">
                  <c:v>Discount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Analysis'!$N$23:$N$34</c:f>
              <c:strCache>
                <c:ptCount val="12"/>
                <c:pt idx="0">
                  <c:v>macbook pro 14</c:v>
                </c:pt>
                <c:pt idx="1">
                  <c:v>iphone 17</c:v>
                </c:pt>
                <c:pt idx="2">
                  <c:v>laptop asus</c:v>
                </c:pt>
                <c:pt idx="3">
                  <c:v>iphone 11</c:v>
                </c:pt>
                <c:pt idx="4">
                  <c:v>dress</c:v>
                </c:pt>
                <c:pt idx="5">
                  <c:v>power bank oraimo</c:v>
                </c:pt>
                <c:pt idx="6">
                  <c:v>samsung charger</c:v>
                </c:pt>
                <c:pt idx="7">
                  <c:v>pullover</c:v>
                </c:pt>
                <c:pt idx="8">
                  <c:v>pantalon</c:v>
                </c:pt>
                <c:pt idx="9">
                  <c:v>t-shirt</c:v>
                </c:pt>
                <c:pt idx="10">
                  <c:v>hat</c:v>
                </c:pt>
                <c:pt idx="11">
                  <c:v>scarf</c:v>
                </c:pt>
              </c:strCache>
            </c:strRef>
          </c:cat>
          <c:val>
            <c:numRef>
              <c:f>'Data Analysis'!$O$23:$O$34</c:f>
              <c:numCache>
                <c:formatCode>General</c:formatCode>
                <c:ptCount val="12"/>
                <c:pt idx="0">
                  <c:v>5</c:v>
                </c:pt>
                <c:pt idx="1">
                  <c:v>20</c:v>
                </c:pt>
                <c:pt idx="2">
                  <c:v>12</c:v>
                </c:pt>
                <c:pt idx="3">
                  <c:v>10</c:v>
                </c:pt>
                <c:pt idx="4">
                  <c:v>40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10</c:v>
                </c:pt>
                <c:pt idx="9">
                  <c:v>8</c:v>
                </c:pt>
                <c:pt idx="10">
                  <c:v>45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4-6649-9E1F-E36D931FF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061312"/>
        <c:axId val="2051063104"/>
      </c:barChart>
      <c:catAx>
        <c:axId val="205106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63104"/>
        <c:crosses val="autoZero"/>
        <c:auto val="1"/>
        <c:lblAlgn val="ctr"/>
        <c:lblOffset val="100"/>
        <c:noMultiLvlLbl val="0"/>
      </c:catAx>
      <c:valAx>
        <c:axId val="205106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6131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0CB70-14A8-0833-C25E-F4DBF4DDD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D8D7EA-BD2E-062E-D2CC-D343C7311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7</xdr:row>
      <xdr:rowOff>0</xdr:rowOff>
    </xdr:from>
    <xdr:to>
      <xdr:col>26</xdr:col>
      <xdr:colOff>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4E690F-DCD6-869B-3A16-C95712601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8C4F1-1FC7-FB4B-A8CA-152F206F67F9}" name="Table1" displayName="Table1" ref="A1:G14" totalsRowShown="0">
  <autoFilter ref="A1:G14" xr:uid="{6B48C4F1-1FC7-FB4B-A8CA-152F206F67F9}"/>
  <sortState xmlns:xlrd2="http://schemas.microsoft.com/office/spreadsheetml/2017/richdata2" ref="A2:G14">
    <sortCondition descending="1" ref="C1:C14"/>
  </sortState>
  <tableColumns count="7">
    <tableColumn id="1" xr3:uid="{A66A25CD-CAE7-8A46-A2CA-453150539790}" name="Categories"/>
    <tableColumn id="2" xr3:uid="{7DFAE0C1-DD34-4548-8D27-C374524CD072}" name="Articles"/>
    <tableColumn id="3" xr3:uid="{7F97693B-2529-D64A-8FC0-7252DF694327}" name="Initial prices in franc cfa(XAF)"/>
    <tableColumn id="4" xr3:uid="{28415AE8-C29B-B24D-983D-3737FC8F5EBE}" name="percentange of discount % "/>
    <tableColumn id="5" xr3:uid="{04C8854F-2582-A044-8810-4DB6B1C1B703}" name="prices after discount in franc cfa(XAF)" dataDxfId="0">
      <calculatedColumnFormula>C2-(C2*D2/100)</calculatedColumnFormula>
    </tableColumn>
    <tableColumn id="7" xr3:uid="{4C954278-992A-9641-AA76-4754E72F2068}" name="Total price of electronics articles"/>
    <tableColumn id="8" xr3:uid="{A8961386-0845-4141-856B-82E140F3B102}" name="Total price of clothes articles 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336B-EB68-344C-B7C8-24BC0C5823E6}">
  <dimension ref="A1:G14"/>
  <sheetViews>
    <sheetView tabSelected="1" zoomScale="60" workbookViewId="0">
      <selection activeCell="P4" sqref="P4"/>
    </sheetView>
  </sheetViews>
  <sheetFormatPr baseColWidth="10" defaultRowHeight="16" x14ac:dyDescent="0.2"/>
  <cols>
    <col min="1" max="1" width="12.1640625" customWidth="1"/>
    <col min="3" max="3" width="13.83203125" customWidth="1"/>
    <col min="4" max="4" width="23.6640625" customWidth="1"/>
    <col min="5" max="5" width="20.5" customWidth="1"/>
  </cols>
  <sheetData>
    <row r="1" spans="1:7" x14ac:dyDescent="0.2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">
      <c r="A2" t="s">
        <v>2</v>
      </c>
      <c r="B2" t="s">
        <v>6</v>
      </c>
      <c r="C2">
        <v>1800000</v>
      </c>
      <c r="D2">
        <v>5</v>
      </c>
      <c r="E2">
        <f t="shared" ref="E2:E14" si="0">C2-(C2*D2/100)</f>
        <v>1710000</v>
      </c>
    </row>
    <row r="3" spans="1:7" x14ac:dyDescent="0.2">
      <c r="A3" t="s">
        <v>2</v>
      </c>
      <c r="B3" t="s">
        <v>7</v>
      </c>
      <c r="C3">
        <v>1500000</v>
      </c>
      <c r="D3">
        <v>20</v>
      </c>
      <c r="E3">
        <f t="shared" si="0"/>
        <v>1200000</v>
      </c>
    </row>
    <row r="4" spans="1:7" x14ac:dyDescent="0.2">
      <c r="A4" t="s">
        <v>2</v>
      </c>
      <c r="B4" t="s">
        <v>5</v>
      </c>
      <c r="C4">
        <v>350000</v>
      </c>
      <c r="D4">
        <v>12</v>
      </c>
      <c r="E4">
        <f t="shared" si="0"/>
        <v>308000</v>
      </c>
    </row>
    <row r="5" spans="1:7" x14ac:dyDescent="0.2">
      <c r="A5" t="s">
        <v>2</v>
      </c>
      <c r="B5" t="s">
        <v>4</v>
      </c>
      <c r="C5">
        <v>250000</v>
      </c>
      <c r="D5">
        <v>10</v>
      </c>
      <c r="E5">
        <f t="shared" si="0"/>
        <v>225000</v>
      </c>
    </row>
    <row r="6" spans="1:7" x14ac:dyDescent="0.2">
      <c r="A6" t="s">
        <v>3</v>
      </c>
      <c r="B6" t="s">
        <v>13</v>
      </c>
      <c r="C6">
        <v>50000</v>
      </c>
      <c r="D6">
        <v>40</v>
      </c>
      <c r="E6">
        <f t="shared" si="0"/>
        <v>30000</v>
      </c>
    </row>
    <row r="7" spans="1:7" x14ac:dyDescent="0.2">
      <c r="A7" t="s">
        <v>2</v>
      </c>
      <c r="B7" t="s">
        <v>8</v>
      </c>
      <c r="C7">
        <v>30000</v>
      </c>
      <c r="D7">
        <v>25</v>
      </c>
      <c r="E7">
        <f t="shared" si="0"/>
        <v>22500</v>
      </c>
    </row>
    <row r="8" spans="1:7" x14ac:dyDescent="0.2">
      <c r="A8" t="s">
        <v>2</v>
      </c>
      <c r="B8" t="s">
        <v>9</v>
      </c>
      <c r="C8">
        <v>25000</v>
      </c>
      <c r="D8">
        <v>30</v>
      </c>
      <c r="E8">
        <f t="shared" si="0"/>
        <v>17500</v>
      </c>
    </row>
    <row r="9" spans="1:7" x14ac:dyDescent="0.2">
      <c r="A9" t="s">
        <v>3</v>
      </c>
      <c r="B9" t="s">
        <v>12</v>
      </c>
      <c r="C9">
        <v>20000</v>
      </c>
      <c r="D9">
        <v>35</v>
      </c>
      <c r="E9">
        <f t="shared" si="0"/>
        <v>13000</v>
      </c>
    </row>
    <row r="10" spans="1:7" x14ac:dyDescent="0.2">
      <c r="A10" t="s">
        <v>3</v>
      </c>
      <c r="B10" t="s">
        <v>10</v>
      </c>
      <c r="C10">
        <v>10000</v>
      </c>
      <c r="D10">
        <v>10</v>
      </c>
      <c r="E10">
        <f t="shared" si="0"/>
        <v>9000</v>
      </c>
    </row>
    <row r="11" spans="1:7" x14ac:dyDescent="0.2">
      <c r="A11" t="s">
        <v>3</v>
      </c>
      <c r="B11" t="s">
        <v>11</v>
      </c>
      <c r="C11">
        <v>10000</v>
      </c>
      <c r="D11">
        <v>8</v>
      </c>
      <c r="E11">
        <f t="shared" si="0"/>
        <v>9200</v>
      </c>
    </row>
    <row r="12" spans="1:7" x14ac:dyDescent="0.2">
      <c r="A12" t="s">
        <v>3</v>
      </c>
      <c r="B12" t="s">
        <v>15</v>
      </c>
      <c r="C12">
        <v>6000</v>
      </c>
      <c r="D12">
        <v>45</v>
      </c>
      <c r="E12">
        <f t="shared" si="0"/>
        <v>3300</v>
      </c>
    </row>
    <row r="13" spans="1:7" x14ac:dyDescent="0.2">
      <c r="A13" t="s">
        <v>3</v>
      </c>
      <c r="B13" t="s">
        <v>14</v>
      </c>
      <c r="C13">
        <v>5000</v>
      </c>
      <c r="D13">
        <v>25</v>
      </c>
      <c r="E13">
        <f t="shared" si="0"/>
        <v>3750</v>
      </c>
    </row>
    <row r="14" spans="1:7" x14ac:dyDescent="0.2">
      <c r="E14">
        <f t="shared" si="0"/>
        <v>0</v>
      </c>
      <c r="F14">
        <f>SUM(E2:E7)</f>
        <v>3495500</v>
      </c>
      <c r="G14">
        <f>SUM(E8:E13)</f>
        <v>55750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307E-1078-0A4C-AF68-067CC7EF3DB2}">
  <dimension ref="B2:O34"/>
  <sheetViews>
    <sheetView workbookViewId="0">
      <selection activeCell="J22" sqref="J22"/>
    </sheetView>
  </sheetViews>
  <sheetFormatPr baseColWidth="10" defaultRowHeight="16" x14ac:dyDescent="0.2"/>
  <cols>
    <col min="1" max="1" width="2.5" customWidth="1"/>
    <col min="2" max="2" width="30" customWidth="1"/>
    <col min="3" max="3" width="21.6640625" customWidth="1"/>
    <col min="4" max="5" width="16.6640625" customWidth="1"/>
    <col min="6" max="6" width="15" customWidth="1"/>
    <col min="7" max="7" width="26.6640625" customWidth="1"/>
    <col min="8" max="8" width="21.6640625" customWidth="1"/>
  </cols>
  <sheetData>
    <row r="2" spans="2:11" ht="27" x14ac:dyDescent="0.35">
      <c r="B2" s="31" t="s">
        <v>21</v>
      </c>
      <c r="C2" s="32"/>
      <c r="D2" s="32"/>
      <c r="E2" s="32"/>
      <c r="F2" s="32"/>
      <c r="G2" s="32"/>
      <c r="H2" s="32"/>
    </row>
    <row r="3" spans="2:11" x14ac:dyDescent="0.2">
      <c r="B3" s="1" t="s">
        <v>22</v>
      </c>
      <c r="J3" s="28" t="s">
        <v>54</v>
      </c>
      <c r="K3" s="29"/>
    </row>
    <row r="4" spans="2:11" x14ac:dyDescent="0.2">
      <c r="J4" s="29" t="s">
        <v>33</v>
      </c>
      <c r="K4" s="29" t="s">
        <v>55</v>
      </c>
    </row>
    <row r="5" spans="2:11" ht="19" x14ac:dyDescent="0.25">
      <c r="B5" s="2" t="s">
        <v>23</v>
      </c>
      <c r="E5" s="2" t="s">
        <v>32</v>
      </c>
      <c r="J5" s="29" t="s">
        <v>2</v>
      </c>
      <c r="K5" s="29">
        <f>G8</f>
        <v>3483000</v>
      </c>
    </row>
    <row r="6" spans="2:11" x14ac:dyDescent="0.2">
      <c r="J6" s="29" t="s">
        <v>37</v>
      </c>
      <c r="K6" s="29">
        <f>G9</f>
        <v>68250</v>
      </c>
    </row>
    <row r="7" spans="2:11" x14ac:dyDescent="0.2">
      <c r="B7" s="3" t="s">
        <v>24</v>
      </c>
      <c r="C7" s="4">
        <f>COUNTA(Table1[Articles])-1</f>
        <v>11</v>
      </c>
      <c r="E7" s="7" t="s">
        <v>33</v>
      </c>
      <c r="F7" s="7" t="s">
        <v>34</v>
      </c>
      <c r="G7" s="7" t="s">
        <v>35</v>
      </c>
      <c r="H7" s="7" t="s">
        <v>36</v>
      </c>
    </row>
    <row r="8" spans="2:11" x14ac:dyDescent="0.2">
      <c r="B8" s="3" t="s">
        <v>25</v>
      </c>
      <c r="C8" s="4">
        <f>COUNTIF(Table1[Categories],"Electronics")</f>
        <v>6</v>
      </c>
      <c r="E8" s="8" t="s">
        <v>2</v>
      </c>
      <c r="F8" s="8">
        <f>COUNTIF(Table1[Categories],"Electronics")</f>
        <v>6</v>
      </c>
      <c r="G8" s="9">
        <f>SUMIF(Table1[Categories],"Electronics",Table1[prices after discount in franc cfa(XAF)])</f>
        <v>3483000</v>
      </c>
      <c r="H8" s="10">
        <f>AVERAGEIF(Table1[Categories],"Electronics",Table1[percentange of discount % ])</f>
        <v>17</v>
      </c>
    </row>
    <row r="9" spans="2:11" x14ac:dyDescent="0.2">
      <c r="B9" s="3" t="s">
        <v>26</v>
      </c>
      <c r="C9" s="4">
        <f>COUNTIF(Table1[Categories],"clothes")</f>
        <v>6</v>
      </c>
      <c r="E9" s="8" t="s">
        <v>37</v>
      </c>
      <c r="F9" s="8">
        <f>COUNTIF(Table1[Categories],"clothes")</f>
        <v>6</v>
      </c>
      <c r="G9" s="9">
        <f>SUMIF(Table1[Categories],"clothes",Table1[prices after discount in franc cfa(XAF)])</f>
        <v>68250</v>
      </c>
      <c r="H9" s="10">
        <f>AVERAGEIF(Table1[Categories],"clothes",Table1[percentange of discount % ])</f>
        <v>27.166666666666668</v>
      </c>
    </row>
    <row r="10" spans="2:11" x14ac:dyDescent="0.2">
      <c r="B10" s="3" t="s">
        <v>27</v>
      </c>
      <c r="C10" s="5">
        <f>SUMIF(Table1[Categories],"&lt;&gt;",Table1[Initial prices in franc cfa(XAF)])</f>
        <v>4056000</v>
      </c>
    </row>
    <row r="11" spans="2:11" x14ac:dyDescent="0.2">
      <c r="B11" s="3" t="s">
        <v>28</v>
      </c>
      <c r="C11" s="5">
        <f>SUMIF(Table1[Categories],"&lt;&gt;",Table1[prices after discount in franc cfa(XAF)])</f>
        <v>3551250</v>
      </c>
    </row>
    <row r="12" spans="2:11" x14ac:dyDescent="0.2">
      <c r="B12" s="3" t="s">
        <v>29</v>
      </c>
      <c r="C12" s="5">
        <f>C10-C11</f>
        <v>504750</v>
      </c>
    </row>
    <row r="13" spans="2:11" x14ac:dyDescent="0.2">
      <c r="B13" s="3" t="s">
        <v>30</v>
      </c>
      <c r="C13" s="6">
        <f>AVERAGEIF(Table1[Categories],"&lt;&gt;",Table1[percentange of discount % ])</f>
        <v>22.083333333333332</v>
      </c>
    </row>
    <row r="14" spans="2:11" x14ac:dyDescent="0.2">
      <c r="B14" s="3" t="s">
        <v>31</v>
      </c>
      <c r="C14" s="4" t="str">
        <f>INDEX(Table1[Articles],MATCH(MAX(Table1[Initial prices in franc cfa(XAF)]),Table1[Initial prices in franc cfa(XAF)],0))</f>
        <v>macbook pro 14</v>
      </c>
    </row>
    <row r="16" spans="2:11" ht="19" x14ac:dyDescent="0.25">
      <c r="B16" s="11" t="s">
        <v>38</v>
      </c>
      <c r="G16" s="2" t="s">
        <v>42</v>
      </c>
    </row>
    <row r="18" spans="2:15" x14ac:dyDescent="0.2">
      <c r="B18" s="12" t="s">
        <v>39</v>
      </c>
      <c r="C18" s="12" t="s">
        <v>40</v>
      </c>
      <c r="D18" s="12" t="s">
        <v>33</v>
      </c>
      <c r="E18" s="12" t="s">
        <v>41</v>
      </c>
      <c r="G18" s="15" t="s">
        <v>43</v>
      </c>
      <c r="H18" s="16">
        <f>MAX(Table1[percentange of discount % ])</f>
        <v>45</v>
      </c>
    </row>
    <row r="19" spans="2:15" x14ac:dyDescent="0.2">
      <c r="B19" s="13">
        <v>1</v>
      </c>
      <c r="C19" s="13" t="str">
        <f>INDEX(Table1[Articles],MATCH(LARGE(Table1[prices after discount in franc cfa(XAF)],1),Table1[prices after discount in franc cfa(XAF)],0))</f>
        <v>macbook pro 14</v>
      </c>
      <c r="D19" s="13" t="str">
        <f>INDEX(Table1[Categories],MATCH(LARGE(Table1[prices after discount in franc cfa(XAF)],1),Table1[prices after discount in franc cfa(XAF)],0))</f>
        <v>Electronics</v>
      </c>
      <c r="E19" s="14">
        <f>LARGE(Table1[prices after discount in franc cfa(XAF)],1)</f>
        <v>1710000</v>
      </c>
      <c r="G19" s="15" t="s">
        <v>44</v>
      </c>
      <c r="H19" s="16">
        <f>MIN(Table1[percentange of discount % ])</f>
        <v>5</v>
      </c>
    </row>
    <row r="20" spans="2:15" x14ac:dyDescent="0.2">
      <c r="B20" s="13">
        <v>2</v>
      </c>
      <c r="C20" s="13" t="str">
        <f>INDEX(Table1[Articles],MATCH(LARGE(Table1[prices after discount in franc cfa(XAF)],2),Table1[prices after discount in franc cfa(XAF)],0))</f>
        <v>iphone 17</v>
      </c>
      <c r="D20" s="13" t="str">
        <f>INDEX(Table1[Categories],MATCH(LARGE(Table1[prices after discount in franc cfa(XAF)],2),Table1[prices after discount in franc cfa(XAF)],0))</f>
        <v>Electronics</v>
      </c>
      <c r="E20" s="14">
        <f>LARGE(Table1[prices after discount in franc cfa(XAF)],2)</f>
        <v>1200000</v>
      </c>
      <c r="G20" s="15" t="s">
        <v>45</v>
      </c>
      <c r="H20" s="17">
        <f>COUNTIF(Table1[percentange of discount % ],"&gt;25")</f>
        <v>4</v>
      </c>
    </row>
    <row r="21" spans="2:15" x14ac:dyDescent="0.2">
      <c r="B21" s="13">
        <v>3</v>
      </c>
      <c r="C21" s="13" t="str">
        <f>INDEX(Table1[Articles],MATCH(LARGE(Table1[prices after discount in franc cfa(XAF)],3),Table1[prices after discount in franc cfa(XAF)],0))</f>
        <v>laptop asus</v>
      </c>
      <c r="D21" s="13" t="str">
        <f>INDEX(Table1[Categories],MATCH(LARGE(Table1[prices after discount in franc cfa(XAF)],3),Table1[prices after discount in franc cfa(XAF)],0))</f>
        <v>Electronics</v>
      </c>
      <c r="E21" s="14">
        <f>LARGE(Table1[prices after discount in franc cfa(XAF)],3)</f>
        <v>308000</v>
      </c>
      <c r="G21" s="15" t="s">
        <v>46</v>
      </c>
      <c r="H21" s="17" t="str">
        <f>INDEX(Table1[Articles],MATCH(MAX(Table1[percentange of discount % ]),Table1[percentange of discount % ],0))</f>
        <v>hat</v>
      </c>
      <c r="J21" s="28" t="s">
        <v>56</v>
      </c>
      <c r="K21" s="29"/>
      <c r="L21" s="29"/>
      <c r="N21" s="28" t="s">
        <v>59</v>
      </c>
      <c r="O21" s="29"/>
    </row>
    <row r="22" spans="2:15" x14ac:dyDescent="0.2">
      <c r="B22" s="13">
        <v>4</v>
      </c>
      <c r="C22" s="13" t="str">
        <f>INDEX(Table1[Articles],MATCH(LARGE(Table1[prices after discount in franc cfa(XAF)],4),Table1[prices after discount in franc cfa(XAF)],0))</f>
        <v>iphone 11</v>
      </c>
      <c r="D22" s="13" t="str">
        <f>INDEX(Table1[Categories],MATCH(LARGE(Table1[prices after discount in franc cfa(XAF)],4),Table1[prices after discount in franc cfa(XAF)],0))</f>
        <v>Electronics</v>
      </c>
      <c r="E22" s="14">
        <f>LARGE(Table1[prices after discount in franc cfa(XAF)],4)</f>
        <v>225000</v>
      </c>
      <c r="G22" s="15" t="s">
        <v>47</v>
      </c>
      <c r="H22" s="18">
        <f>C12</f>
        <v>504750</v>
      </c>
      <c r="J22" s="29" t="s">
        <v>40</v>
      </c>
      <c r="K22" s="29" t="s">
        <v>57</v>
      </c>
      <c r="L22" s="29" t="s">
        <v>58</v>
      </c>
      <c r="N22" s="29" t="s">
        <v>40</v>
      </c>
      <c r="O22" s="29" t="s">
        <v>60</v>
      </c>
    </row>
    <row r="23" spans="2:15" x14ac:dyDescent="0.2">
      <c r="B23" s="13">
        <v>5</v>
      </c>
      <c r="C23" s="13" t="str">
        <f>INDEX(Table1[Articles],MATCH(LARGE(Table1[prices after discount in franc cfa(XAF)],5),Table1[prices after discount in franc cfa(XAF)],0))</f>
        <v>dress</v>
      </c>
      <c r="D23" s="13" t="str">
        <f>INDEX(Table1[Categories],MATCH(LARGE(Table1[prices after discount in franc cfa(XAF)],5),Table1[prices after discount in franc cfa(XAF)],0))</f>
        <v>clothes</v>
      </c>
      <c r="E23" s="14">
        <f>LARGE(Table1[prices after discount in franc cfa(XAF)],5)</f>
        <v>30000</v>
      </c>
      <c r="J23" s="29" t="s">
        <v>6</v>
      </c>
      <c r="K23" s="29">
        <v>1800000</v>
      </c>
      <c r="L23" s="29">
        <v>1710000</v>
      </c>
      <c r="N23" s="29" t="s">
        <v>6</v>
      </c>
      <c r="O23" s="29">
        <v>5</v>
      </c>
    </row>
    <row r="24" spans="2:15" x14ac:dyDescent="0.2">
      <c r="J24" s="29" t="s">
        <v>7</v>
      </c>
      <c r="K24" s="29">
        <v>1500000</v>
      </c>
      <c r="L24" s="29">
        <v>1200000</v>
      </c>
      <c r="N24" s="29" t="s">
        <v>7</v>
      </c>
      <c r="O24" s="29">
        <v>20</v>
      </c>
    </row>
    <row r="25" spans="2:15" x14ac:dyDescent="0.2">
      <c r="J25" s="29" t="s">
        <v>5</v>
      </c>
      <c r="K25" s="29">
        <v>350000</v>
      </c>
      <c r="L25" s="29">
        <v>308000</v>
      </c>
      <c r="N25" s="29" t="s">
        <v>5</v>
      </c>
      <c r="O25" s="29">
        <v>12</v>
      </c>
    </row>
    <row r="26" spans="2:15" ht="19" x14ac:dyDescent="0.25">
      <c r="B26" s="2" t="s">
        <v>48</v>
      </c>
      <c r="J26" s="29" t="s">
        <v>4</v>
      </c>
      <c r="K26" s="29">
        <v>250000</v>
      </c>
      <c r="L26" s="29">
        <v>225000</v>
      </c>
      <c r="N26" s="29" t="s">
        <v>4</v>
      </c>
      <c r="O26" s="29">
        <v>10</v>
      </c>
    </row>
    <row r="27" spans="2:15" x14ac:dyDescent="0.2">
      <c r="J27" s="29" t="s">
        <v>13</v>
      </c>
      <c r="K27" s="29">
        <v>50000</v>
      </c>
      <c r="L27" s="29">
        <v>30000</v>
      </c>
      <c r="N27" s="29" t="s">
        <v>13</v>
      </c>
      <c r="O27" s="29">
        <v>40</v>
      </c>
    </row>
    <row r="28" spans="2:15" x14ac:dyDescent="0.2">
      <c r="B28" s="22" t="s">
        <v>49</v>
      </c>
      <c r="C28" s="21"/>
      <c r="D28" s="21"/>
      <c r="E28" s="21"/>
      <c r="F28" s="21"/>
      <c r="G28" s="21"/>
      <c r="H28" s="25"/>
      <c r="J28" s="29" t="s">
        <v>8</v>
      </c>
      <c r="K28" s="29">
        <v>30000</v>
      </c>
      <c r="L28" s="29">
        <v>22500</v>
      </c>
      <c r="N28" s="29" t="s">
        <v>8</v>
      </c>
      <c r="O28" s="29">
        <v>25</v>
      </c>
    </row>
    <row r="29" spans="2:15" x14ac:dyDescent="0.2">
      <c r="B29" s="23" t="s">
        <v>50</v>
      </c>
      <c r="C29" s="19"/>
      <c r="D29" s="19"/>
      <c r="E29" s="19"/>
      <c r="F29" s="19"/>
      <c r="G29" s="19"/>
      <c r="H29" s="26"/>
      <c r="J29" s="29" t="s">
        <v>9</v>
      </c>
      <c r="K29" s="29">
        <v>25000</v>
      </c>
      <c r="L29" s="29">
        <v>17500</v>
      </c>
      <c r="N29" s="29" t="s">
        <v>9</v>
      </c>
      <c r="O29" s="29">
        <v>30</v>
      </c>
    </row>
    <row r="30" spans="2:15" x14ac:dyDescent="0.2">
      <c r="B30" s="23" t="s">
        <v>51</v>
      </c>
      <c r="C30" s="19"/>
      <c r="D30" s="19"/>
      <c r="E30" s="19"/>
      <c r="F30" s="19"/>
      <c r="G30" s="19"/>
      <c r="H30" s="26"/>
      <c r="J30" s="29" t="s">
        <v>12</v>
      </c>
      <c r="K30" s="29">
        <v>20000</v>
      </c>
      <c r="L30" s="29">
        <v>13000</v>
      </c>
      <c r="N30" s="29" t="s">
        <v>12</v>
      </c>
      <c r="O30" s="29">
        <v>35</v>
      </c>
    </row>
    <row r="31" spans="2:15" x14ac:dyDescent="0.2">
      <c r="B31" s="23" t="s">
        <v>52</v>
      </c>
      <c r="C31" s="19"/>
      <c r="D31" s="19"/>
      <c r="E31" s="19"/>
      <c r="F31" s="19"/>
      <c r="G31" s="19"/>
      <c r="H31" s="26"/>
      <c r="J31" s="29" t="s">
        <v>10</v>
      </c>
      <c r="K31" s="29">
        <v>10000</v>
      </c>
      <c r="L31" s="29">
        <v>9000</v>
      </c>
      <c r="N31" s="29" t="s">
        <v>10</v>
      </c>
      <c r="O31" s="29">
        <v>10</v>
      </c>
    </row>
    <row r="32" spans="2:15" x14ac:dyDescent="0.2">
      <c r="B32" s="24" t="s">
        <v>53</v>
      </c>
      <c r="C32" s="20"/>
      <c r="D32" s="20"/>
      <c r="E32" s="20"/>
      <c r="F32" s="20"/>
      <c r="G32" s="20"/>
      <c r="H32" s="27"/>
      <c r="J32" s="29" t="s">
        <v>11</v>
      </c>
      <c r="K32" s="29">
        <v>10000</v>
      </c>
      <c r="L32" s="29">
        <v>9200</v>
      </c>
      <c r="N32" s="29" t="s">
        <v>11</v>
      </c>
      <c r="O32" s="29">
        <v>8</v>
      </c>
    </row>
    <row r="33" spans="2:15" x14ac:dyDescent="0.2">
      <c r="J33" s="29" t="s">
        <v>15</v>
      </c>
      <c r="K33" s="29">
        <v>6000</v>
      </c>
      <c r="L33" s="29">
        <v>3300</v>
      </c>
      <c r="N33" s="29" t="s">
        <v>15</v>
      </c>
      <c r="O33" s="29">
        <v>45</v>
      </c>
    </row>
    <row r="34" spans="2:15" x14ac:dyDescent="0.2">
      <c r="B34" s="30" t="s">
        <v>61</v>
      </c>
      <c r="J34" s="29" t="s">
        <v>14</v>
      </c>
      <c r="K34" s="29">
        <v>5000</v>
      </c>
      <c r="L34" s="29">
        <v>3750</v>
      </c>
      <c r="N34" s="29" t="s">
        <v>14</v>
      </c>
      <c r="O34" s="29">
        <v>25</v>
      </c>
    </row>
  </sheetData>
  <mergeCells count="1">
    <mergeCell ref="B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 Adama</dc:creator>
  <cp:lastModifiedBy>Laila Adama</cp:lastModifiedBy>
  <dcterms:created xsi:type="dcterms:W3CDTF">2026-08-24T15:17:48Z</dcterms:created>
  <dcterms:modified xsi:type="dcterms:W3CDTF">2026-09-22T16:49:02Z</dcterms:modified>
</cp:coreProperties>
</file>